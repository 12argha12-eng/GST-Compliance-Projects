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b6f964fd786faf/Desktop/"/>
    </mc:Choice>
  </mc:AlternateContent>
  <xr:revisionPtr revIDLastSave="0" documentId="14_{96CB02BF-D90E-4C67-AB28-59D067544EE9}" xr6:coauthVersionLast="47" xr6:coauthVersionMax="47" xr10:uidLastSave="{00000000-0000-0000-0000-000000000000}"/>
  <bookViews>
    <workbookView xWindow="-108" yWindow="-108" windowWidth="23256" windowHeight="12456" xr2:uid="{FCBEE2DA-567F-4730-A335-147E9054A7BA}"/>
  </bookViews>
  <sheets>
    <sheet name="GST Registration" sheetId="1" r:id="rId1"/>
    <sheet name="Registration Scenario" sheetId="2" r:id="rId2"/>
    <sheet name="Reg. Documents Checklist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3" l="1"/>
  <c r="O9" i="3"/>
  <c r="O8" i="3"/>
  <c r="O7" i="3"/>
  <c r="O6" i="3"/>
  <c r="O5" i="3"/>
  <c r="A11" i="3"/>
  <c r="A12" i="3"/>
  <c r="A13" i="3"/>
  <c r="A14" i="3"/>
  <c r="A8" i="3"/>
  <c r="A9" i="3"/>
  <c r="A10" i="3"/>
  <c r="A6" i="3"/>
  <c r="A7" i="3"/>
  <c r="A5" i="3"/>
  <c r="C6" i="2"/>
  <c r="C7" i="2"/>
  <c r="C8" i="2"/>
  <c r="C9" i="2"/>
  <c r="C10" i="2"/>
  <c r="C11" i="2"/>
  <c r="C12" i="2"/>
  <c r="C13" i="2"/>
  <c r="C14" i="2"/>
  <c r="C5" i="2"/>
  <c r="E6" i="2"/>
  <c r="E7" i="2"/>
  <c r="E8" i="2"/>
  <c r="E9" i="2"/>
  <c r="E10" i="2"/>
  <c r="E11" i="2"/>
  <c r="E12" i="2"/>
  <c r="E13" i="2"/>
  <c r="E14" i="2"/>
  <c r="E5" i="2"/>
  <c r="R13" i="1" a="1"/>
  <c r="R13" i="1" s="1"/>
  <c r="R12" i="1"/>
  <c r="R11" i="1"/>
  <c r="R10" i="1"/>
  <c r="R9" i="1"/>
  <c r="R8" i="1"/>
  <c r="R7" i="1"/>
  <c r="J8" i="1"/>
  <c r="J9" i="1"/>
  <c r="J10" i="1"/>
  <c r="J11" i="1"/>
  <c r="J12" i="1"/>
  <c r="J13" i="1"/>
  <c r="J14" i="1"/>
  <c r="J15" i="1"/>
  <c r="J16" i="1"/>
  <c r="J7" i="1"/>
  <c r="I8" i="1"/>
  <c r="I9" i="1"/>
  <c r="I10" i="1"/>
  <c r="I11" i="1"/>
  <c r="I12" i="1"/>
  <c r="I13" i="1"/>
  <c r="I14" i="1"/>
  <c r="I15" i="1"/>
  <c r="I16" i="1"/>
  <c r="I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<sst xmlns="http://schemas.openxmlformats.org/spreadsheetml/2006/main" count="288" uniqueCount="135">
  <si>
    <t>Vendor Name</t>
  </si>
  <si>
    <t>Nature of Business</t>
  </si>
  <si>
    <t>Supply Type (Goods/Services)</t>
  </si>
  <si>
    <t>Supplier State</t>
  </si>
  <si>
    <t>Place of Supply</t>
  </si>
  <si>
    <t>Aggregate Turnover</t>
  </si>
  <si>
    <t>Supplier Type</t>
  </si>
  <si>
    <t>GST Registration required</t>
  </si>
  <si>
    <t>GST Registration Status</t>
  </si>
  <si>
    <t>GSTIN</t>
  </si>
  <si>
    <t>Registration Date</t>
  </si>
  <si>
    <t>ARN</t>
  </si>
  <si>
    <t>Remarks</t>
  </si>
  <si>
    <t>Trilok Manufacturing</t>
  </si>
  <si>
    <t>G.K Traders</t>
  </si>
  <si>
    <t>Raj Textiles</t>
  </si>
  <si>
    <t>G.T Enterprises</t>
  </si>
  <si>
    <t>Jhankar Electronics</t>
  </si>
  <si>
    <t>Royal Restaurant</t>
  </si>
  <si>
    <t>Avi Consultancy</t>
  </si>
  <si>
    <t>Fresh Farm Suppliers</t>
  </si>
  <si>
    <t>Bijay Hardware</t>
  </si>
  <si>
    <t>Novatal Automobile</t>
  </si>
  <si>
    <t>Manufacturing</t>
  </si>
  <si>
    <t>Electronics</t>
  </si>
  <si>
    <t>Restaurant</t>
  </si>
  <si>
    <t>Consultancy</t>
  </si>
  <si>
    <t>Hardware</t>
  </si>
  <si>
    <t>Automobile</t>
  </si>
  <si>
    <t>Trading</t>
  </si>
  <si>
    <t>Garments</t>
  </si>
  <si>
    <t>Grocery</t>
  </si>
  <si>
    <t>Agriculture</t>
  </si>
  <si>
    <t>Goods</t>
  </si>
  <si>
    <t>Services</t>
  </si>
  <si>
    <t>West Bengal</t>
  </si>
  <si>
    <t>Gujarat</t>
  </si>
  <si>
    <t>Manipur</t>
  </si>
  <si>
    <t>Uttarakhand</t>
  </si>
  <si>
    <t>Nagaland</t>
  </si>
  <si>
    <t>Delhi</t>
  </si>
  <si>
    <t>Punjab</t>
  </si>
  <si>
    <t>Maharashtra</t>
  </si>
  <si>
    <t>Odisha</t>
  </si>
  <si>
    <t>Telangana</t>
  </si>
  <si>
    <t>Assam</t>
  </si>
  <si>
    <t>Normal</t>
  </si>
  <si>
    <t>Composition</t>
  </si>
  <si>
    <t>Registration Basis</t>
  </si>
  <si>
    <t>Turnover Threshold</t>
  </si>
  <si>
    <t>Inter-state supply</t>
  </si>
  <si>
    <t>Threshold not crossed</t>
  </si>
  <si>
    <t>Composition Scheme</t>
  </si>
  <si>
    <t>Registered</t>
  </si>
  <si>
    <t>Not Applicable</t>
  </si>
  <si>
    <t>20XYZLK6789G4Z6</t>
  </si>
  <si>
    <t>03ABCDE8765L7Z6</t>
  </si>
  <si>
    <t>13ABCDE6798D1Z2</t>
  </si>
  <si>
    <t>17ABCDE1234G2Z5</t>
  </si>
  <si>
    <t>03ABCDE4321K1Z6</t>
  </si>
  <si>
    <t>27ABCDE2468L1Z8</t>
  </si>
  <si>
    <t>19ABCDE1357M1Z9</t>
  </si>
  <si>
    <t>ARN123456789</t>
  </si>
  <si>
    <t>ARN123456790</t>
  </si>
  <si>
    <t>ARN123456791</t>
  </si>
  <si>
    <t>ARN123456792</t>
  </si>
  <si>
    <t>ARN123456793</t>
  </si>
  <si>
    <t>ARN123456794</t>
  </si>
  <si>
    <t>ARN123456795</t>
  </si>
  <si>
    <t>GSTIN Active</t>
  </si>
  <si>
    <t>Inter-state Supplier</t>
  </si>
  <si>
    <t>Below Threshold</t>
  </si>
  <si>
    <t>Composition Dealer</t>
  </si>
  <si>
    <t>Project Assumptions-</t>
  </si>
  <si>
    <t xml:space="preserve">• Registration analysed using sample business data. </t>
  </si>
  <si>
    <t>• Inter-state taxable supplies considered separately.</t>
  </si>
  <si>
    <t>• Composition dealer shown as a registered taxpayer under the Composition Scheme.</t>
  </si>
  <si>
    <t>• Turnover threshold applied for educational purposes.</t>
  </si>
  <si>
    <t>GST Registration Summary</t>
  </si>
  <si>
    <t>Value</t>
  </si>
  <si>
    <t>Total Business</t>
  </si>
  <si>
    <t>Registration Required</t>
  </si>
  <si>
    <t>Registration not Required</t>
  </si>
  <si>
    <t>Composite Dealers</t>
  </si>
  <si>
    <t>Inter-state Suppliers</t>
  </si>
  <si>
    <t>Scenario</t>
  </si>
  <si>
    <t>Reason</t>
  </si>
  <si>
    <t>Intra-state goods supplier above threshold</t>
  </si>
  <si>
    <t>Intra-state goods supplier below threshold</t>
  </si>
  <si>
    <t>Casual Taxable Person</t>
  </si>
  <si>
    <t>Non-Resident Taxable Person</t>
  </si>
  <si>
    <t>E-commerce Operator</t>
  </si>
  <si>
    <t>Input Service Distributor</t>
  </si>
  <si>
    <t>Nature of Supply</t>
  </si>
  <si>
    <t>Inter-state supply of goods</t>
  </si>
  <si>
    <t>Intra-state supply of services above threshold</t>
  </si>
  <si>
    <t>Intra-state supply of services below threshold</t>
  </si>
  <si>
    <t>Composition Scheme dealer</t>
  </si>
  <si>
    <t>Turnover</t>
  </si>
  <si>
    <t>Turnover exceeds threshold</t>
  </si>
  <si>
    <t>Below threshold</t>
  </si>
  <si>
    <t>Inter-state taxable supply(sample scenario)</t>
  </si>
  <si>
    <t>Registered under Composition Scheme</t>
  </si>
  <si>
    <t>Compulsory Registration</t>
  </si>
  <si>
    <t>Separate Registration</t>
  </si>
  <si>
    <t>Business Name</t>
  </si>
  <si>
    <t>PAN</t>
  </si>
  <si>
    <t>Aadhar</t>
  </si>
  <si>
    <t>Adress Proof</t>
  </si>
  <si>
    <t>Bank Account Proof</t>
  </si>
  <si>
    <t>Business Registration Proof</t>
  </si>
  <si>
    <t>Photograph</t>
  </si>
  <si>
    <t>ARN Status</t>
  </si>
  <si>
    <t>GSTIN Status</t>
  </si>
  <si>
    <t>Registration Status</t>
  </si>
  <si>
    <t>✓</t>
  </si>
  <si>
    <t>Generated</t>
  </si>
  <si>
    <t>Pending</t>
  </si>
  <si>
    <t>Completed</t>
  </si>
  <si>
    <t>Issued</t>
  </si>
  <si>
    <t>Not Issued</t>
  </si>
  <si>
    <t>Not Required</t>
  </si>
  <si>
    <t>Bank proof awaited</t>
  </si>
  <si>
    <t>✗</t>
  </si>
  <si>
    <t>Registered Documents Summary</t>
  </si>
  <si>
    <t>Completed Registrations</t>
  </si>
  <si>
    <t>Pending Registrations</t>
  </si>
  <si>
    <t xml:space="preserve">ARN Generated </t>
  </si>
  <si>
    <t>GSTIN Issued</t>
  </si>
  <si>
    <t>GST Registration &amp; Compliance Tracker</t>
  </si>
  <si>
    <t>GST Registration Scenarios</t>
  </si>
  <si>
    <t>Sample GST registration scenarios prepared toubderstand the applicability of GST registration under different business situations.</t>
  </si>
  <si>
    <t>GST Registration Documents Checklist</t>
  </si>
  <si>
    <t>Checklist for tracking the completeness of documents required for GST registration using sample business data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</si>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</sst>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2" borderId="1" xfId="0" quotePrefix="1" applyFont="1" applyFill="1" applyBorder="1" applyAlignment="1">
      <alignment horizontal="center" vertical="center" wrapText="1"/>
    </xf>
    <xf numFmtId="3" fontId="0" fillId="0" borderId="1" xfId="0" quotePrefix="1" applyNumberFormat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6"/>
        </patternFill>
      </fill>
    </dxf>
    <dxf>
      <fill>
        <patternFill>
          <bgColor theme="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9A36-951A-4C78-8E48-DB0DE9B3C34D}">
  <dimension ref="A3:R22"/>
  <sheetViews>
    <sheetView tabSelected="1" zoomScale="73" workbookViewId="0">
      <selection activeCell="F27" sqref="F27"/>
    </sheetView>
  </sheetViews>
  <sheetFormatPr defaultRowHeight="14.4" x14ac:dyDescent="0.3"/>
  <cols>
    <col min="1" max="1" width="18.77734375" customWidth="1"/>
    <col min="2" max="2" width="19.33203125" customWidth="1"/>
    <col min="3" max="3" width="19.6640625" customWidth="1"/>
    <col min="4" max="4" width="12.5546875" customWidth="1"/>
    <col min="5" max="5" width="12.21875" customWidth="1"/>
    <col min="6" max="6" width="11.44140625" customWidth="1"/>
    <col min="7" max="7" width="12.77734375" customWidth="1"/>
    <col min="8" max="8" width="19.88671875" customWidth="1"/>
    <col min="9" max="9" width="19.33203125" customWidth="1"/>
    <col min="10" max="10" width="19.44140625" customWidth="1"/>
    <col min="11" max="11" width="19.6640625" customWidth="1"/>
    <col min="12" max="12" width="15.33203125" customWidth="1"/>
    <col min="13" max="13" width="16.6640625" customWidth="1"/>
    <col min="14" max="14" width="18.21875" customWidth="1"/>
    <col min="17" max="17" width="24.21875" customWidth="1"/>
  </cols>
  <sheetData>
    <row r="3" spans="1:18" ht="15.6" x14ac:dyDescent="0.3">
      <c r="D3" s="1"/>
    </row>
    <row r="4" spans="1:18" s="5" customFormat="1" ht="30" customHeight="1" x14ac:dyDescent="0.3">
      <c r="A4" s="22" t="s">
        <v>129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6" spans="1:18" ht="44.4" customHeight="1" x14ac:dyDescent="0.3">
      <c r="A6" s="6" t="s">
        <v>0</v>
      </c>
      <c r="B6" s="6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48</v>
      </c>
      <c r="I6" s="7" t="s">
        <v>7</v>
      </c>
      <c r="J6" s="7" t="s">
        <v>8</v>
      </c>
      <c r="K6" s="6" t="s">
        <v>9</v>
      </c>
      <c r="L6" s="7" t="s">
        <v>10</v>
      </c>
      <c r="M6" s="6" t="s">
        <v>11</v>
      </c>
      <c r="N6" s="6" t="s">
        <v>12</v>
      </c>
      <c r="Q6" s="13" t="s">
        <v>78</v>
      </c>
      <c r="R6" s="14" t="s">
        <v>79</v>
      </c>
    </row>
    <row r="7" spans="1:18" x14ac:dyDescent="0.3">
      <c r="A7" s="8" t="s">
        <v>13</v>
      </c>
      <c r="B7" s="9" t="s">
        <v>23</v>
      </c>
      <c r="C7" s="9" t="s">
        <v>33</v>
      </c>
      <c r="D7" s="9" t="s">
        <v>35</v>
      </c>
      <c r="E7" s="9" t="s">
        <v>35</v>
      </c>
      <c r="F7" s="10">
        <v>4200000</v>
      </c>
      <c r="G7" s="9" t="s">
        <v>46</v>
      </c>
      <c r="H7" s="9" t="s">
        <v>49</v>
      </c>
      <c r="I7" s="9" t="str">
        <f>IF(OR(H7="Turnover Threshold",H7="Inter-state supply",H7="Composition Scheme"),"Required","Not Required")</f>
        <v>Required</v>
      </c>
      <c r="J7" s="9" t="str">
        <f>IF(I7="Required","Registered","Not Applicable")</f>
        <v>Registered</v>
      </c>
      <c r="K7" s="9" t="s">
        <v>58</v>
      </c>
      <c r="L7" s="11">
        <v>46122</v>
      </c>
      <c r="M7" s="9" t="s">
        <v>62</v>
      </c>
      <c r="N7" s="9" t="s">
        <v>69</v>
      </c>
      <c r="Q7" s="15" t="s">
        <v>80</v>
      </c>
      <c r="R7" s="16">
        <f>COUNTA(B7:B16)</f>
        <v>10</v>
      </c>
    </row>
    <row r="8" spans="1:18" x14ac:dyDescent="0.3">
      <c r="A8" s="8" t="s">
        <v>14</v>
      </c>
      <c r="B8" s="9" t="s">
        <v>29</v>
      </c>
      <c r="C8" s="9" t="s">
        <v>33</v>
      </c>
      <c r="D8" s="9" t="s">
        <v>35</v>
      </c>
      <c r="E8" s="9" t="s">
        <v>43</v>
      </c>
      <c r="F8" s="10">
        <v>1800000</v>
      </c>
      <c r="G8" s="9" t="s">
        <v>46</v>
      </c>
      <c r="H8" s="9" t="s">
        <v>50</v>
      </c>
      <c r="I8" s="9" t="str">
        <f t="shared" ref="I8:I16" si="0">IF(OR(H8="Turnover Threshold",H8="Inter-state supply",H8="Composition Scheme"),"Required","Not Required")</f>
        <v>Required</v>
      </c>
      <c r="J8" s="9" t="str">
        <f t="shared" ref="J8:J16" si="1">IF(I8="Required","Registered","Not Applicable")</f>
        <v>Registered</v>
      </c>
      <c r="K8" s="9" t="s">
        <v>55</v>
      </c>
      <c r="L8" s="11">
        <v>46127</v>
      </c>
      <c r="M8" s="9" t="s">
        <v>63</v>
      </c>
      <c r="N8" s="9" t="s">
        <v>70</v>
      </c>
      <c r="Q8" s="15" t="s">
        <v>81</v>
      </c>
      <c r="R8" s="16">
        <f>COUNTIF(I7:I16,"Required")</f>
        <v>7</v>
      </c>
    </row>
    <row r="9" spans="1:18" x14ac:dyDescent="0.3">
      <c r="A9" s="8" t="s">
        <v>15</v>
      </c>
      <c r="B9" s="9" t="s">
        <v>30</v>
      </c>
      <c r="C9" s="9" t="s">
        <v>33</v>
      </c>
      <c r="D9" s="9" t="s">
        <v>36</v>
      </c>
      <c r="E9" s="9" t="s">
        <v>36</v>
      </c>
      <c r="F9" s="10">
        <v>3800000</v>
      </c>
      <c r="G9" s="9" t="s">
        <v>46</v>
      </c>
      <c r="H9" s="9" t="s">
        <v>51</v>
      </c>
      <c r="I9" s="9" t="str">
        <f t="shared" si="0"/>
        <v>Not Required</v>
      </c>
      <c r="J9" s="9" t="str">
        <f t="shared" si="1"/>
        <v>Not Applicable</v>
      </c>
      <c r="K9" s="12" t="s">
        <v>134</v>
      </c>
      <c r="L9" s="9" t="s">
        <v>134</v>
      </c>
      <c r="M9" s="9" t="s">
        <v>134</v>
      </c>
      <c r="N9" s="9" t="s">
        <v>71</v>
      </c>
      <c r="Q9" s="15" t="s">
        <v>82</v>
      </c>
      <c r="R9" s="16">
        <f>COUNTIF(I7:I16,"Not Required")</f>
        <v>3</v>
      </c>
    </row>
    <row r="10" spans="1:18" x14ac:dyDescent="0.3">
      <c r="A10" s="8" t="s">
        <v>16</v>
      </c>
      <c r="B10" s="9" t="s">
        <v>31</v>
      </c>
      <c r="C10" s="9" t="s">
        <v>33</v>
      </c>
      <c r="D10" s="9" t="s">
        <v>37</v>
      </c>
      <c r="E10" s="9" t="s">
        <v>37</v>
      </c>
      <c r="F10" s="10">
        <v>900000</v>
      </c>
      <c r="G10" s="9" t="s">
        <v>46</v>
      </c>
      <c r="H10" s="9" t="s">
        <v>51</v>
      </c>
      <c r="I10" s="9" t="str">
        <f t="shared" si="0"/>
        <v>Not Required</v>
      </c>
      <c r="J10" s="9" t="str">
        <f t="shared" si="1"/>
        <v>Not Applicable</v>
      </c>
      <c r="K10" s="9" t="s">
        <v>134</v>
      </c>
      <c r="L10" s="9" t="s">
        <v>134</v>
      </c>
      <c r="M10" s="9" t="s">
        <v>134</v>
      </c>
      <c r="N10" s="9" t="s">
        <v>71</v>
      </c>
      <c r="Q10" s="15" t="s">
        <v>53</v>
      </c>
      <c r="R10" s="16">
        <f>COUNTIF(J7:J16,"Registered")</f>
        <v>7</v>
      </c>
    </row>
    <row r="11" spans="1:18" x14ac:dyDescent="0.3">
      <c r="A11" s="8" t="s">
        <v>17</v>
      </c>
      <c r="B11" s="9" t="s">
        <v>24</v>
      </c>
      <c r="C11" s="9" t="s">
        <v>33</v>
      </c>
      <c r="D11" s="9" t="s">
        <v>38</v>
      </c>
      <c r="E11" s="9" t="s">
        <v>38</v>
      </c>
      <c r="F11" s="10">
        <v>2200000</v>
      </c>
      <c r="G11" s="9" t="s">
        <v>46</v>
      </c>
      <c r="H11" s="9" t="s">
        <v>49</v>
      </c>
      <c r="I11" s="9" t="str">
        <f t="shared" si="0"/>
        <v>Required</v>
      </c>
      <c r="J11" s="9" t="str">
        <f t="shared" si="1"/>
        <v>Registered</v>
      </c>
      <c r="K11" s="9" t="s">
        <v>56</v>
      </c>
      <c r="L11" s="11">
        <v>46132</v>
      </c>
      <c r="M11" s="9" t="s">
        <v>64</v>
      </c>
      <c r="N11" s="9" t="s">
        <v>69</v>
      </c>
      <c r="Q11" s="15" t="s">
        <v>54</v>
      </c>
      <c r="R11" s="16">
        <f>COUNTIF(J7:J16,"Not Applicable")</f>
        <v>3</v>
      </c>
    </row>
    <row r="12" spans="1:18" x14ac:dyDescent="0.3">
      <c r="A12" s="8" t="s">
        <v>18</v>
      </c>
      <c r="B12" s="9" t="s">
        <v>25</v>
      </c>
      <c r="C12" s="9" t="s">
        <v>34</v>
      </c>
      <c r="D12" s="9" t="s">
        <v>39</v>
      </c>
      <c r="E12" s="9" t="s">
        <v>39</v>
      </c>
      <c r="F12" s="10">
        <v>1500000</v>
      </c>
      <c r="G12" s="9" t="s">
        <v>46</v>
      </c>
      <c r="H12" s="9" t="s">
        <v>49</v>
      </c>
      <c r="I12" s="9" t="str">
        <f t="shared" si="0"/>
        <v>Required</v>
      </c>
      <c r="J12" s="9" t="str">
        <f t="shared" si="1"/>
        <v>Registered</v>
      </c>
      <c r="K12" s="9" t="s">
        <v>57</v>
      </c>
      <c r="L12" s="11">
        <v>46147</v>
      </c>
      <c r="M12" s="9" t="s">
        <v>65</v>
      </c>
      <c r="N12" s="9" t="s">
        <v>69</v>
      </c>
      <c r="Q12" s="15" t="s">
        <v>83</v>
      </c>
      <c r="R12" s="16">
        <f>COUNTIF(G7:G16,"Composition")</f>
        <v>1</v>
      </c>
    </row>
    <row r="13" spans="1:18" x14ac:dyDescent="0.3">
      <c r="A13" s="8" t="s">
        <v>19</v>
      </c>
      <c r="B13" s="9" t="s">
        <v>26</v>
      </c>
      <c r="C13" s="9" t="s">
        <v>34</v>
      </c>
      <c r="D13" s="9" t="s">
        <v>40</v>
      </c>
      <c r="E13" s="9" t="s">
        <v>44</v>
      </c>
      <c r="F13" s="10">
        <v>1700000</v>
      </c>
      <c r="G13" s="9" t="s">
        <v>46</v>
      </c>
      <c r="H13" s="9" t="s">
        <v>51</v>
      </c>
      <c r="I13" s="9" t="str">
        <f t="shared" si="0"/>
        <v>Not Required</v>
      </c>
      <c r="J13" s="9" t="str">
        <f t="shared" si="1"/>
        <v>Not Applicable</v>
      </c>
      <c r="K13" s="8"/>
      <c r="L13" s="8"/>
      <c r="M13" s="8"/>
      <c r="N13" s="9" t="s">
        <v>71</v>
      </c>
      <c r="Q13" s="15" t="s">
        <v>84</v>
      </c>
      <c r="R13" s="16" cm="1">
        <f t="array" ref="R13">SUMPRODUCT(--(D7:D16&lt;&gt;E7:E16))</f>
        <v>4</v>
      </c>
    </row>
    <row r="14" spans="1:18" x14ac:dyDescent="0.3">
      <c r="A14" s="8" t="s">
        <v>20</v>
      </c>
      <c r="B14" s="9" t="s">
        <v>32</v>
      </c>
      <c r="C14" s="9" t="s">
        <v>33</v>
      </c>
      <c r="D14" s="9" t="s">
        <v>41</v>
      </c>
      <c r="E14" s="9" t="s">
        <v>41</v>
      </c>
      <c r="F14" s="10">
        <v>3000000</v>
      </c>
      <c r="G14" s="9" t="s">
        <v>47</v>
      </c>
      <c r="H14" s="9" t="s">
        <v>52</v>
      </c>
      <c r="I14" s="9" t="str">
        <f t="shared" si="0"/>
        <v>Required</v>
      </c>
      <c r="J14" s="9" t="str">
        <f t="shared" si="1"/>
        <v>Registered</v>
      </c>
      <c r="K14" s="9" t="s">
        <v>59</v>
      </c>
      <c r="L14" s="11">
        <v>46154</v>
      </c>
      <c r="M14" s="9" t="s">
        <v>66</v>
      </c>
      <c r="N14" s="9" t="s">
        <v>72</v>
      </c>
    </row>
    <row r="15" spans="1:18" x14ac:dyDescent="0.3">
      <c r="A15" s="8" t="s">
        <v>21</v>
      </c>
      <c r="B15" s="9" t="s">
        <v>27</v>
      </c>
      <c r="C15" s="9" t="s">
        <v>33</v>
      </c>
      <c r="D15" s="9" t="s">
        <v>42</v>
      </c>
      <c r="E15" s="9" t="s">
        <v>45</v>
      </c>
      <c r="F15" s="10">
        <v>800000</v>
      </c>
      <c r="G15" s="9" t="s">
        <v>46</v>
      </c>
      <c r="H15" s="9" t="s">
        <v>50</v>
      </c>
      <c r="I15" s="9" t="str">
        <f t="shared" si="0"/>
        <v>Required</v>
      </c>
      <c r="J15" s="9" t="str">
        <f t="shared" si="1"/>
        <v>Registered</v>
      </c>
      <c r="K15" s="9" t="s">
        <v>60</v>
      </c>
      <c r="L15" s="11">
        <v>46167</v>
      </c>
      <c r="M15" s="9" t="s">
        <v>67</v>
      </c>
      <c r="N15" s="9" t="s">
        <v>69</v>
      </c>
    </row>
    <row r="16" spans="1:18" x14ac:dyDescent="0.3">
      <c r="A16" s="8" t="s">
        <v>22</v>
      </c>
      <c r="B16" s="9" t="s">
        <v>28</v>
      </c>
      <c r="C16" s="9" t="s">
        <v>33</v>
      </c>
      <c r="D16" s="9" t="s">
        <v>35</v>
      </c>
      <c r="E16" s="9" t="s">
        <v>40</v>
      </c>
      <c r="F16" s="10">
        <v>2500000</v>
      </c>
      <c r="G16" s="9" t="s">
        <v>46</v>
      </c>
      <c r="H16" s="9" t="s">
        <v>50</v>
      </c>
      <c r="I16" s="9" t="str">
        <f t="shared" si="0"/>
        <v>Required</v>
      </c>
      <c r="J16" s="9" t="str">
        <f t="shared" si="1"/>
        <v>Registered</v>
      </c>
      <c r="K16" s="9" t="s">
        <v>61</v>
      </c>
      <c r="L16" s="11">
        <v>46175</v>
      </c>
      <c r="M16" s="9" t="s">
        <v>68</v>
      </c>
      <c r="N16" s="9" t="s">
        <v>69</v>
      </c>
    </row>
    <row r="17" spans="1:14" x14ac:dyDescent="0.3">
      <c r="I17" s="2"/>
    </row>
    <row r="18" spans="1:14" x14ac:dyDescent="0.3">
      <c r="A18" s="24" t="s">
        <v>73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 s="3" customFormat="1" ht="23.4" customHeight="1" x14ac:dyDescent="0.3">
      <c r="A19" s="23" t="s">
        <v>74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spans="1:14" ht="24" customHeight="1" x14ac:dyDescent="0.3">
      <c r="A20" s="23" t="s">
        <v>77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spans="1:14" ht="25.8" customHeight="1" x14ac:dyDescent="0.3">
      <c r="A21" s="23" t="s">
        <v>75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1:14" ht="26.4" customHeight="1" x14ac:dyDescent="0.3">
      <c r="A22" s="23" t="s">
        <v>76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</sheetData>
  <mergeCells count="6">
    <mergeCell ref="A4:N4"/>
    <mergeCell ref="A19:N19"/>
    <mergeCell ref="A20:N20"/>
    <mergeCell ref="A21:N21"/>
    <mergeCell ref="A22:N22"/>
    <mergeCell ref="A18:N18"/>
  </mergeCells>
  <phoneticPr fontId="5" type="noConversion"/>
  <conditionalFormatting sqref="I7:I16">
    <cfRule type="containsText" dxfId="11" priority="1" operator="containsText" text="Not Required">
      <formula>NOT(ISERROR(SEARCH("Not Required",I7)))</formula>
    </cfRule>
    <cfRule type="containsText" dxfId="10" priority="2" operator="containsText" text="Required">
      <formula>NOT(ISERROR(SEARCH("Required",I7)))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5A68-5F3E-43F4-9884-026C4DEA2D73}">
  <dimension ref="A2:F16"/>
  <sheetViews>
    <sheetView workbookViewId="0">
      <selection activeCell="J10" sqref="J10"/>
    </sheetView>
  </sheetViews>
  <sheetFormatPr defaultRowHeight="14.4" x14ac:dyDescent="0.3"/>
  <cols>
    <col min="1" max="1" width="24.44140625" customWidth="1"/>
    <col min="2" max="2" width="16.5546875" customWidth="1"/>
    <col min="3" max="3" width="19.44140625" customWidth="1"/>
    <col min="4" max="4" width="11.77734375" customWidth="1"/>
    <col min="5" max="5" width="12.33203125" customWidth="1"/>
    <col min="6" max="6" width="23.109375" customWidth="1"/>
  </cols>
  <sheetData>
    <row r="2" spans="1:6" ht="21" x14ac:dyDescent="0.3">
      <c r="A2" s="22" t="s">
        <v>130</v>
      </c>
      <c r="B2" s="22"/>
      <c r="C2" s="22"/>
      <c r="D2" s="22"/>
      <c r="E2" s="22"/>
      <c r="F2" s="22"/>
    </row>
    <row r="3" spans="1:6" ht="33.6" customHeight="1" x14ac:dyDescent="0.3">
      <c r="A3" s="25" t="s">
        <v>131</v>
      </c>
      <c r="B3" s="25"/>
      <c r="C3" s="25"/>
      <c r="D3" s="25"/>
      <c r="E3" s="25"/>
      <c r="F3" s="25"/>
    </row>
    <row r="4" spans="1:6" ht="42" customHeight="1" x14ac:dyDescent="0.3">
      <c r="A4" s="6" t="s">
        <v>85</v>
      </c>
      <c r="B4" s="7" t="s">
        <v>93</v>
      </c>
      <c r="C4" s="6" t="s">
        <v>6</v>
      </c>
      <c r="D4" s="6" t="s">
        <v>98</v>
      </c>
      <c r="E4" s="7" t="s">
        <v>81</v>
      </c>
      <c r="F4" s="6" t="s">
        <v>86</v>
      </c>
    </row>
    <row r="5" spans="1:6" ht="38.4" customHeight="1" x14ac:dyDescent="0.3">
      <c r="A5" s="21" t="s">
        <v>87</v>
      </c>
      <c r="B5" s="9" t="s">
        <v>33</v>
      </c>
      <c r="C5" s="9" t="str">
        <f>IF(A5="Composition Scheme dealer","Composition",IF(A5="Input Service Distributor","ISD","Normal"))</f>
        <v>Normal</v>
      </c>
      <c r="D5" s="10">
        <v>4200000</v>
      </c>
      <c r="E5" s="9" t="str">
        <f>IF(OR(A5="Intra-state goods supplier above threshold",A5="Inter-state supply of goods",A5="Intra-state supply of services above threshold",A5="Composition Scheme dealer",A5="Casual Taxable Person",A5="Non-Resident Taxable Person",A5="E-commerce Operator",A5="Input Service Distributor"),"Required","Not Required")</f>
        <v>Required</v>
      </c>
      <c r="F5" s="15" t="s">
        <v>99</v>
      </c>
    </row>
    <row r="6" spans="1:6" ht="28.8" x14ac:dyDescent="0.3">
      <c r="A6" s="21" t="s">
        <v>88</v>
      </c>
      <c r="B6" s="9" t="s">
        <v>33</v>
      </c>
      <c r="C6" s="9" t="str">
        <f t="shared" ref="C6:C14" si="0">IF(A6="Composition Scheme dealer","Composition",IF(A6="Input Service Distributor","ISD","Normal"))</f>
        <v>Normal</v>
      </c>
      <c r="D6" s="10">
        <v>3800000</v>
      </c>
      <c r="E6" s="9" t="str">
        <f t="shared" ref="E6:E14" si="1">IF(OR(A6="Intra-state goods supplier above threshold",A6="Inter-state supply of goods",A6="Intra-state supply of services above threshold",A6="Composition Scheme dealer",A6="Casual Taxable Person",A6="Non-Resident Taxable Person",A6="E-commerce Operator",A6="Input Service Distributor"),"Required","Not Required")</f>
        <v>Not Required</v>
      </c>
      <c r="F6" s="15" t="s">
        <v>100</v>
      </c>
    </row>
    <row r="7" spans="1:6" ht="28.8" x14ac:dyDescent="0.3">
      <c r="A7" s="21" t="s">
        <v>94</v>
      </c>
      <c r="B7" s="9" t="s">
        <v>33</v>
      </c>
      <c r="C7" s="9" t="str">
        <f t="shared" si="0"/>
        <v>Normal</v>
      </c>
      <c r="D7" s="10">
        <v>1800000</v>
      </c>
      <c r="E7" s="9" t="str">
        <f t="shared" si="1"/>
        <v>Required</v>
      </c>
      <c r="F7" s="21" t="s">
        <v>101</v>
      </c>
    </row>
    <row r="8" spans="1:6" ht="28.8" x14ac:dyDescent="0.3">
      <c r="A8" s="21" t="s">
        <v>95</v>
      </c>
      <c r="B8" s="9" t="s">
        <v>34</v>
      </c>
      <c r="C8" s="9" t="str">
        <f t="shared" si="0"/>
        <v>Normal</v>
      </c>
      <c r="D8" s="10">
        <v>2500000</v>
      </c>
      <c r="E8" s="9" t="str">
        <f t="shared" si="1"/>
        <v>Required</v>
      </c>
      <c r="F8" s="9" t="s">
        <v>99</v>
      </c>
    </row>
    <row r="9" spans="1:6" ht="28.8" x14ac:dyDescent="0.3">
      <c r="A9" s="21" t="s">
        <v>96</v>
      </c>
      <c r="B9" s="9" t="s">
        <v>34</v>
      </c>
      <c r="C9" s="9" t="str">
        <f t="shared" si="0"/>
        <v>Normal</v>
      </c>
      <c r="D9" s="10">
        <v>1700000</v>
      </c>
      <c r="E9" s="9" t="str">
        <f t="shared" si="1"/>
        <v>Not Required</v>
      </c>
      <c r="F9" s="15" t="s">
        <v>100</v>
      </c>
    </row>
    <row r="10" spans="1:6" ht="28.8" x14ac:dyDescent="0.3">
      <c r="A10" s="21" t="s">
        <v>97</v>
      </c>
      <c r="B10" s="9" t="s">
        <v>33</v>
      </c>
      <c r="C10" s="9" t="str">
        <f t="shared" si="0"/>
        <v>Composition</v>
      </c>
      <c r="D10" s="10">
        <v>3000000</v>
      </c>
      <c r="E10" s="9" t="str">
        <f t="shared" si="1"/>
        <v>Required</v>
      </c>
      <c r="F10" s="21" t="s">
        <v>102</v>
      </c>
    </row>
    <row r="11" spans="1:6" x14ac:dyDescent="0.3">
      <c r="A11" s="21" t="s">
        <v>89</v>
      </c>
      <c r="B11" s="9" t="s">
        <v>33</v>
      </c>
      <c r="C11" s="9" t="str">
        <f t="shared" si="0"/>
        <v>Normal</v>
      </c>
      <c r="D11" s="10">
        <v>800000</v>
      </c>
      <c r="E11" s="9" t="str">
        <f t="shared" si="1"/>
        <v>Required</v>
      </c>
      <c r="F11" s="15" t="s">
        <v>103</v>
      </c>
    </row>
    <row r="12" spans="1:6" ht="28.8" x14ac:dyDescent="0.3">
      <c r="A12" s="21" t="s">
        <v>90</v>
      </c>
      <c r="B12" s="9" t="s">
        <v>34</v>
      </c>
      <c r="C12" s="9" t="str">
        <f t="shared" si="0"/>
        <v>Normal</v>
      </c>
      <c r="D12" s="10">
        <v>1200000</v>
      </c>
      <c r="E12" s="9" t="str">
        <f t="shared" si="1"/>
        <v>Required</v>
      </c>
      <c r="F12" s="15" t="s">
        <v>103</v>
      </c>
    </row>
    <row r="13" spans="1:6" x14ac:dyDescent="0.3">
      <c r="A13" s="21" t="s">
        <v>91</v>
      </c>
      <c r="B13" s="9" t="s">
        <v>34</v>
      </c>
      <c r="C13" s="9" t="str">
        <f t="shared" si="0"/>
        <v>Normal</v>
      </c>
      <c r="D13" s="10">
        <v>5000000</v>
      </c>
      <c r="E13" s="9" t="str">
        <f t="shared" si="1"/>
        <v>Required</v>
      </c>
      <c r="F13" s="15" t="s">
        <v>103</v>
      </c>
    </row>
    <row r="14" spans="1:6" x14ac:dyDescent="0.3">
      <c r="A14" s="21" t="s">
        <v>92</v>
      </c>
      <c r="B14" s="9" t="s">
        <v>34</v>
      </c>
      <c r="C14" s="9" t="str">
        <f t="shared" si="0"/>
        <v>ISD</v>
      </c>
      <c r="D14" s="8"/>
      <c r="E14" s="9" t="str">
        <f t="shared" si="1"/>
        <v>Required</v>
      </c>
      <c r="F14" s="15" t="s">
        <v>104</v>
      </c>
    </row>
    <row r="15" spans="1:6" x14ac:dyDescent="0.3">
      <c r="A15" s="4"/>
    </row>
    <row r="16" spans="1:6" x14ac:dyDescent="0.3">
      <c r="A16" s="4"/>
    </row>
  </sheetData>
  <mergeCells count="2">
    <mergeCell ref="A2:F2"/>
    <mergeCell ref="A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AE19-7AFD-455F-BCB2-9A6CA3DDC90A}">
  <dimension ref="A2:O14"/>
  <sheetViews>
    <sheetView zoomScaleNormal="100" workbookViewId="0">
      <selection activeCell="G19" sqref="G19"/>
    </sheetView>
  </sheetViews>
  <sheetFormatPr defaultRowHeight="14.4" x14ac:dyDescent="0.3"/>
  <cols>
    <col min="1" max="1" width="19.109375" customWidth="1"/>
    <col min="5" max="5" width="14.5546875" customWidth="1"/>
    <col min="6" max="6" width="21.5546875" customWidth="1"/>
    <col min="7" max="7" width="13" customWidth="1"/>
    <col min="8" max="8" width="12.6640625" customWidth="1"/>
    <col min="9" max="9" width="14.33203125" customWidth="1"/>
    <col min="10" max="10" width="12.21875" customWidth="1"/>
    <col min="11" max="11" width="18.21875" customWidth="1"/>
    <col min="13" max="13" width="8.33203125" customWidth="1"/>
    <col min="14" max="14" width="24.109375" customWidth="1"/>
  </cols>
  <sheetData>
    <row r="2" spans="1:15" ht="18" x14ac:dyDescent="0.3">
      <c r="A2" s="26" t="s">
        <v>132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5" ht="23.4" customHeight="1" x14ac:dyDescent="0.3">
      <c r="A3" s="27" t="s">
        <v>133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5" ht="31.8" customHeight="1" x14ac:dyDescent="0.3">
      <c r="A4" s="17" t="s">
        <v>105</v>
      </c>
      <c r="B4" s="6" t="s">
        <v>106</v>
      </c>
      <c r="C4" s="6" t="s">
        <v>107</v>
      </c>
      <c r="D4" s="7" t="s">
        <v>108</v>
      </c>
      <c r="E4" s="7" t="s">
        <v>109</v>
      </c>
      <c r="F4" s="7" t="s">
        <v>110</v>
      </c>
      <c r="G4" s="7" t="s">
        <v>111</v>
      </c>
      <c r="H4" s="7" t="s">
        <v>112</v>
      </c>
      <c r="I4" s="7" t="s">
        <v>113</v>
      </c>
      <c r="J4" s="7" t="s">
        <v>114</v>
      </c>
      <c r="K4" s="6" t="s">
        <v>12</v>
      </c>
      <c r="N4" s="19" t="s">
        <v>124</v>
      </c>
      <c r="O4" s="20" t="s">
        <v>79</v>
      </c>
    </row>
    <row r="5" spans="1:15" x14ac:dyDescent="0.3">
      <c r="A5" s="18" t="str">
        <f>('GST Registration'!A7)</f>
        <v>Trilok Manufacturing</v>
      </c>
      <c r="B5" s="9" t="s">
        <v>115</v>
      </c>
      <c r="C5" s="9" t="s">
        <v>115</v>
      </c>
      <c r="D5" s="9" t="s">
        <v>115</v>
      </c>
      <c r="E5" s="9" t="s">
        <v>115</v>
      </c>
      <c r="F5" s="9" t="s">
        <v>115</v>
      </c>
      <c r="G5" s="9" t="s">
        <v>115</v>
      </c>
      <c r="H5" s="9" t="s">
        <v>116</v>
      </c>
      <c r="I5" s="9" t="s">
        <v>119</v>
      </c>
      <c r="J5" s="9" t="s">
        <v>118</v>
      </c>
      <c r="K5" s="9" t="s">
        <v>69</v>
      </c>
      <c r="N5" s="8" t="s">
        <v>80</v>
      </c>
      <c r="O5" s="9">
        <f>COUNTA(A5:A14)</f>
        <v>10</v>
      </c>
    </row>
    <row r="6" spans="1:15" x14ac:dyDescent="0.3">
      <c r="A6" s="18" t="str">
        <f>('GST Registration'!A8)</f>
        <v>G.K Traders</v>
      </c>
      <c r="B6" s="9" t="s">
        <v>115</v>
      </c>
      <c r="C6" s="9" t="s">
        <v>115</v>
      </c>
      <c r="D6" s="9" t="s">
        <v>115</v>
      </c>
      <c r="E6" s="9" t="s">
        <v>115</v>
      </c>
      <c r="F6" s="9" t="s">
        <v>115</v>
      </c>
      <c r="G6" s="9" t="s">
        <v>115</v>
      </c>
      <c r="H6" s="9" t="s">
        <v>116</v>
      </c>
      <c r="I6" s="9" t="s">
        <v>119</v>
      </c>
      <c r="J6" s="9" t="s">
        <v>118</v>
      </c>
      <c r="K6" s="9" t="s">
        <v>69</v>
      </c>
      <c r="N6" s="8" t="s">
        <v>125</v>
      </c>
      <c r="O6" s="9">
        <f>COUNTIF(J5:J14,"Completed")</f>
        <v>7</v>
      </c>
    </row>
    <row r="7" spans="1:15" x14ac:dyDescent="0.3">
      <c r="A7" s="18" t="str">
        <f>('GST Registration'!A9)</f>
        <v>Raj Textiles</v>
      </c>
      <c r="B7" s="9" t="s">
        <v>115</v>
      </c>
      <c r="C7" s="9" t="s">
        <v>115</v>
      </c>
      <c r="D7" s="9" t="s">
        <v>115</v>
      </c>
      <c r="E7" s="9" t="s">
        <v>123</v>
      </c>
      <c r="F7" s="9" t="s">
        <v>115</v>
      </c>
      <c r="G7" s="9" t="s">
        <v>115</v>
      </c>
      <c r="H7" s="9" t="s">
        <v>117</v>
      </c>
      <c r="I7" s="9" t="s">
        <v>120</v>
      </c>
      <c r="J7" s="9" t="s">
        <v>117</v>
      </c>
      <c r="K7" s="9" t="s">
        <v>122</v>
      </c>
      <c r="N7" s="8" t="s">
        <v>126</v>
      </c>
      <c r="O7" s="9">
        <f>COUNTIF(J5:J14,"Pending")</f>
        <v>1</v>
      </c>
    </row>
    <row r="8" spans="1:15" x14ac:dyDescent="0.3">
      <c r="A8" s="18" t="str">
        <f>('GST Registration'!A10)</f>
        <v>G.T Enterprises</v>
      </c>
      <c r="B8" s="9" t="s">
        <v>115</v>
      </c>
      <c r="C8" s="9" t="s">
        <v>115</v>
      </c>
      <c r="D8" s="9" t="s">
        <v>115</v>
      </c>
      <c r="E8" s="9" t="s">
        <v>115</v>
      </c>
      <c r="F8" s="9" t="s">
        <v>115</v>
      </c>
      <c r="G8" s="9" t="s">
        <v>115</v>
      </c>
      <c r="H8" s="9" t="s">
        <v>54</v>
      </c>
      <c r="I8" s="9" t="s">
        <v>54</v>
      </c>
      <c r="J8" s="9" t="s">
        <v>121</v>
      </c>
      <c r="K8" s="9" t="s">
        <v>71</v>
      </c>
      <c r="N8" s="8" t="s">
        <v>121</v>
      </c>
      <c r="O8" s="9">
        <f>COUNTIF(J5:J14,"Not Required")</f>
        <v>2</v>
      </c>
    </row>
    <row r="9" spans="1:15" x14ac:dyDescent="0.3">
      <c r="A9" s="18" t="str">
        <f>('GST Registration'!A11)</f>
        <v>Jhankar Electronics</v>
      </c>
      <c r="B9" s="9" t="s">
        <v>115</v>
      </c>
      <c r="C9" s="9" t="s">
        <v>115</v>
      </c>
      <c r="D9" s="9" t="s">
        <v>115</v>
      </c>
      <c r="E9" s="9" t="s">
        <v>115</v>
      </c>
      <c r="F9" s="9" t="s">
        <v>115</v>
      </c>
      <c r="G9" s="9" t="s">
        <v>115</v>
      </c>
      <c r="H9" s="9" t="s">
        <v>116</v>
      </c>
      <c r="I9" s="9" t="s">
        <v>119</v>
      </c>
      <c r="J9" s="9" t="s">
        <v>118</v>
      </c>
      <c r="K9" s="9" t="s">
        <v>69</v>
      </c>
      <c r="N9" s="8" t="s">
        <v>127</v>
      </c>
      <c r="O9" s="9">
        <f>COUNTIF(H5:H14,"Generated")</f>
        <v>7</v>
      </c>
    </row>
    <row r="10" spans="1:15" x14ac:dyDescent="0.3">
      <c r="A10" s="18" t="str">
        <f>('GST Registration'!A12)</f>
        <v>Royal Restaurant</v>
      </c>
      <c r="B10" s="9" t="s">
        <v>115</v>
      </c>
      <c r="C10" s="9" t="s">
        <v>115</v>
      </c>
      <c r="D10" s="9" t="s">
        <v>115</v>
      </c>
      <c r="E10" s="9" t="s">
        <v>115</v>
      </c>
      <c r="F10" s="9" t="s">
        <v>115</v>
      </c>
      <c r="G10" s="9" t="s">
        <v>115</v>
      </c>
      <c r="H10" s="9" t="s">
        <v>116</v>
      </c>
      <c r="I10" s="9" t="s">
        <v>119</v>
      </c>
      <c r="J10" s="9" t="s">
        <v>118</v>
      </c>
      <c r="K10" s="9" t="s">
        <v>69</v>
      </c>
      <c r="N10" s="8" t="s">
        <v>128</v>
      </c>
      <c r="O10" s="9">
        <f>COUNTIF(I5:I14,"Issued")</f>
        <v>7</v>
      </c>
    </row>
    <row r="11" spans="1:15" x14ac:dyDescent="0.3">
      <c r="A11" s="18" t="str">
        <f>('GST Registration'!A13)</f>
        <v>Avi Consultancy</v>
      </c>
      <c r="B11" s="9" t="s">
        <v>115</v>
      </c>
      <c r="C11" s="9" t="s">
        <v>115</v>
      </c>
      <c r="D11" s="9" t="s">
        <v>115</v>
      </c>
      <c r="E11" s="9" t="s">
        <v>115</v>
      </c>
      <c r="F11" s="9" t="s">
        <v>115</v>
      </c>
      <c r="G11" s="9" t="s">
        <v>115</v>
      </c>
      <c r="H11" s="9" t="s">
        <v>54</v>
      </c>
      <c r="I11" s="9" t="s">
        <v>54</v>
      </c>
      <c r="J11" s="9" t="s">
        <v>121</v>
      </c>
      <c r="K11" s="9" t="s">
        <v>71</v>
      </c>
    </row>
    <row r="12" spans="1:15" x14ac:dyDescent="0.3">
      <c r="A12" s="18" t="str">
        <f>('GST Registration'!A14)</f>
        <v>Fresh Farm Suppliers</v>
      </c>
      <c r="B12" s="9" t="s">
        <v>115</v>
      </c>
      <c r="C12" s="9" t="s">
        <v>115</v>
      </c>
      <c r="D12" s="9" t="s">
        <v>115</v>
      </c>
      <c r="E12" s="9" t="s">
        <v>115</v>
      </c>
      <c r="F12" s="9" t="s">
        <v>115</v>
      </c>
      <c r="G12" s="9" t="s">
        <v>115</v>
      </c>
      <c r="H12" s="9" t="s">
        <v>116</v>
      </c>
      <c r="I12" s="9" t="s">
        <v>119</v>
      </c>
      <c r="J12" s="9" t="s">
        <v>118</v>
      </c>
      <c r="K12" s="9" t="s">
        <v>72</v>
      </c>
    </row>
    <row r="13" spans="1:15" x14ac:dyDescent="0.3">
      <c r="A13" s="18" t="str">
        <f>('GST Registration'!A15)</f>
        <v>Bijay Hardware</v>
      </c>
      <c r="B13" s="9" t="s">
        <v>115</v>
      </c>
      <c r="C13" s="9" t="s">
        <v>115</v>
      </c>
      <c r="D13" s="9" t="s">
        <v>115</v>
      </c>
      <c r="E13" s="9" t="s">
        <v>115</v>
      </c>
      <c r="F13" s="9" t="s">
        <v>115</v>
      </c>
      <c r="G13" s="9" t="s">
        <v>115</v>
      </c>
      <c r="H13" s="9" t="s">
        <v>116</v>
      </c>
      <c r="I13" s="9" t="s">
        <v>119</v>
      </c>
      <c r="J13" s="9" t="s">
        <v>118</v>
      </c>
      <c r="K13" s="9" t="s">
        <v>69</v>
      </c>
    </row>
    <row r="14" spans="1:15" x14ac:dyDescent="0.3">
      <c r="A14" s="18" t="str">
        <f>('GST Registration'!A16)</f>
        <v>Novatal Automobile</v>
      </c>
      <c r="B14" s="9" t="s">
        <v>115</v>
      </c>
      <c r="C14" s="9" t="s">
        <v>115</v>
      </c>
      <c r="D14" s="9" t="s">
        <v>115</v>
      </c>
      <c r="E14" s="9" t="s">
        <v>115</v>
      </c>
      <c r="F14" s="9" t="s">
        <v>115</v>
      </c>
      <c r="G14" s="9" t="s">
        <v>115</v>
      </c>
      <c r="H14" s="9" t="s">
        <v>116</v>
      </c>
      <c r="I14" s="9" t="s">
        <v>119</v>
      </c>
      <c r="J14" s="9" t="s">
        <v>118</v>
      </c>
      <c r="K14" s="9" t="s">
        <v>69</v>
      </c>
    </row>
  </sheetData>
  <mergeCells count="2">
    <mergeCell ref="A2:K2"/>
    <mergeCell ref="A3:K3"/>
  </mergeCells>
  <conditionalFormatting sqref="B5:D14">
    <cfRule type="containsText" dxfId="9" priority="9" operator="containsText" text="✓">
      <formula>NOT(ISERROR(SEARCH("✓",B5)))</formula>
    </cfRule>
    <cfRule type="containsText" dxfId="8" priority="10" operator="containsText" text="✓">
      <formula>NOT(ISERROR(SEARCH("✓",B5)))</formula>
    </cfRule>
  </conditionalFormatting>
  <conditionalFormatting sqref="E5:E6">
    <cfRule type="containsText" dxfId="7" priority="7" operator="containsText" text="✓">
      <formula>NOT(ISERROR(SEARCH("✓",E5)))</formula>
    </cfRule>
  </conditionalFormatting>
  <conditionalFormatting sqref="E7">
    <cfRule type="containsText" dxfId="6" priority="8" operator="containsText" text="✗">
      <formula>NOT(ISERROR(SEARCH("✗",E7)))</formula>
    </cfRule>
  </conditionalFormatting>
  <conditionalFormatting sqref="E8:G14">
    <cfRule type="containsText" dxfId="5" priority="6" operator="containsText" text="✓">
      <formula>NOT(ISERROR(SEARCH("✓",E8)))</formula>
    </cfRule>
  </conditionalFormatting>
  <conditionalFormatting sqref="F5:G7">
    <cfRule type="containsText" dxfId="4" priority="5" operator="containsText" text="✓">
      <formula>NOT(ISERROR(SEARCH("✓",F5)))</formula>
    </cfRule>
  </conditionalFormatting>
  <conditionalFormatting sqref="J5:J14">
    <cfRule type="containsText" dxfId="3" priority="1" operator="containsText" text="Not Required">
      <formula>NOT(ISERROR(SEARCH("Not Required",J5)))</formula>
    </cfRule>
    <cfRule type="containsText" dxfId="2" priority="2" operator="containsText" text="Not Required">
      <formula>NOT(ISERROR(SEARCH("Not Required",J5)))</formula>
    </cfRule>
    <cfRule type="containsText" dxfId="1" priority="3" operator="containsText" text="Pending">
      <formula>NOT(ISERROR(SEARCH("Pending",J5)))</formula>
    </cfRule>
    <cfRule type="containsText" dxfId="0" priority="4" operator="containsText" text="Completed">
      <formula>NOT(ISERROR(SEARCH("Completed",J5)))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GST Registration</vt:lpstr>
      <vt:lpstr>Registration Scenario</vt:lpstr>
      <vt:lpstr>Reg. Documents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Argha Kamal Das</dc:creator>
  <cp:lastModifiedBy>Argha Kamal Das</cp:lastModifiedBy>
  <dcterms:created xsi:type="dcterms:W3CDTF">2026-07-08T09:45:25Z</dcterms:created>
  <dcterms:modified xsi:type="dcterms:W3CDTF">2026-07-09T16:19:28Z</dcterms:modified>
</cp:coreProperties>
</file>